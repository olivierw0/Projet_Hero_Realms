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livi\OneDrive\Documents\4A_INFO\S1\Projet_Hero_Realms\Projet_Hero_Realms\"/>
    </mc:Choice>
  </mc:AlternateContent>
  <xr:revisionPtr revIDLastSave="0" documentId="13_ncr:1_{08CF8561-EB2F-4EED-AE12-CB5184CD5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B57" i="1"/>
</calcChain>
</file>

<file path=xl/sharedStrings.xml><?xml version="1.0" encoding="utf-8"?>
<sst xmlns="http://schemas.openxmlformats.org/spreadsheetml/2006/main" count="258" uniqueCount="168">
  <si>
    <t>Qty</t>
  </si>
  <si>
    <t>Name</t>
  </si>
  <si>
    <t>Effect</t>
  </si>
  <si>
    <t>Type</t>
  </si>
  <si>
    <t>Faction</t>
  </si>
  <si>
    <t>Cost</t>
  </si>
  <si>
    <t>Where</t>
  </si>
  <si>
    <t>Close Ranks</t>
  </si>
  <si>
    <t>Action</t>
  </si>
  <si>
    <t>Command</t>
  </si>
  <si>
    <t>{Gain 2 gold} {Gain 3 combat} {Gain 4 health}
Draw a card.</t>
  </si>
  <si>
    <t>Domination</t>
  </si>
  <si>
    <t>Rally the Troops</t>
  </si>
  <si>
    <t>Recruit</t>
  </si>
  <si>
    <t>Taxation</t>
  </si>
  <si>
    <t>Bribe</t>
  </si>
  <si>
    <t>Deception</t>
  </si>
  <si>
    <t>Fire Bomb</t>
  </si>
  <si>
    <t>{Gain 8 combat}
Stun target champion. Draw a card.
&lt;hr&gt;
{Sacrifice}: {Gain 5 combat}</t>
  </si>
  <si>
    <t>Profit</t>
  </si>
  <si>
    <t>Dark Reward</t>
  </si>
  <si>
    <t>Influence</t>
  </si>
  <si>
    <t>{Gain 3 gold}
&lt;hr&gt;
{Sacrifice}: {Gain 3 combat}</t>
  </si>
  <si>
    <t>Nature's Bounty</t>
  </si>
  <si>
    <t>Death Threat</t>
  </si>
  <si>
    <t>Action ◆ Assassin</t>
  </si>
  <si>
    <t>Hit Job</t>
  </si>
  <si>
    <t>Death Touch</t>
  </si>
  <si>
    <t>Action ◆ Curse</t>
  </si>
  <si>
    <t>Life Drain</t>
  </si>
  <si>
    <t>The Rot</t>
  </si>
  <si>
    <t>Elven Gift</t>
  </si>
  <si>
    <t>Action ◆ Elf</t>
  </si>
  <si>
    <t>Elven Curse</t>
  </si>
  <si>
    <t>Action ◆ Elf Curse</t>
  </si>
  <si>
    <t>Rampage</t>
  </si>
  <si>
    <t>{Gain 6 combat}
You may draw up to two cards, then discard that many cards.</t>
  </si>
  <si>
    <t>Action ◆ Orc</t>
  </si>
  <si>
    <t>Intimidation</t>
  </si>
  <si>
    <t>Action ◆ Rogue</t>
  </si>
  <si>
    <t>Smash and Grab</t>
  </si>
  <si>
    <t>{Gain 6 combat}
You may put a card from your discard pile on top of your deck.</t>
  </si>
  <si>
    <t>Word of Power</t>
  </si>
  <si>
    <t>Action ◆ Spell</t>
  </si>
  <si>
    <t>Dark Energy</t>
  </si>
  <si>
    <t>Spark</t>
  </si>
  <si>
    <t>Wolf Form</t>
  </si>
  <si>
    <t>{Gain 8 combat}
Target opponent discards a card.
&lt;hr&gt;
{Sacrifice}: Target opponent discards a card.</t>
  </si>
  <si>
    <t>Action ◆ Wolf</t>
  </si>
  <si>
    <t>Tyrannor, the Devourer</t>
  </si>
  <si>
    <t>Champion ◆ Demon</t>
  </si>
  <si>
    <t>6 Guard</t>
  </si>
  <si>
    <t>Champion ◆ Dragon</t>
  </si>
  <si>
    <t>Broelyn, Loreweaver</t>
  </si>
  <si>
    <t>Champion ◆ Elf Mage</t>
  </si>
  <si>
    <t>Grak, Storm Giant</t>
  </si>
  <si>
    <t>Champion ◆ Giant</t>
  </si>
  <si>
    <t>7 Guard</t>
  </si>
  <si>
    <t>Dire Wolf</t>
  </si>
  <si>
    <t>Champion ◆ Giant Wolf</t>
  </si>
  <si>
    <t>5 Guard</t>
  </si>
  <si>
    <t>Cult Priest</t>
  </si>
  <si>
    <t>Champion ◆ Human</t>
  </si>
  <si>
    <t>Death Cultist</t>
  </si>
  <si>
    <t>{Expend}: {Gain 2 combat}</t>
  </si>
  <si>
    <t>3 Guard</t>
  </si>
  <si>
    <t>Rake, Master Assassin</t>
  </si>
  <si>
    <t>{Expend}: {Gain 4 combat} You may stun target champion.</t>
  </si>
  <si>
    <t>Champion ◆ Human Assassin</t>
  </si>
  <si>
    <t>Darian, War Mage</t>
  </si>
  <si>
    <t>{Expend}: {Gain 3 combat} &lt;i&gt;or&lt;/i&gt; {Gain 4 health}</t>
  </si>
  <si>
    <t>Champion ◆ Human Mage</t>
  </si>
  <si>
    <t>Rayla, Endweaver</t>
  </si>
  <si>
    <t>Master Weyan</t>
  </si>
  <si>
    <t>{Expend}: {Gain 3 combat} +{1 combat} for each other champion you have in play.</t>
  </si>
  <si>
    <t>Champion ◆ Human Monk</t>
  </si>
  <si>
    <t>4 Guard</t>
  </si>
  <si>
    <t>Varrick, the Necromancer</t>
  </si>
  <si>
    <t>Champion ◆ Human Necromancer</t>
  </si>
  <si>
    <t>Cristov, the Just</t>
  </si>
  <si>
    <t>Champion ◆ Human Paladin</t>
  </si>
  <si>
    <t>Kraka, High Priest</t>
  </si>
  <si>
    <t>Champion ◆ Human Priest</t>
  </si>
  <si>
    <t>Tithe Priest</t>
  </si>
  <si>
    <t>{Expend}: {Gain 1 gold}
&lt;i&gt;or&lt;/i&gt;
Gain {1 health} for each champion you have in play.</t>
  </si>
  <si>
    <t>Wolf Shaman</t>
  </si>
  <si>
    <t>Parov, the Enforcer</t>
  </si>
  <si>
    <t>Champion ◆ Human Rogue</t>
  </si>
  <si>
    <t>Rasmus, the Smuggler</t>
  </si>
  <si>
    <t>Street Thug</t>
  </si>
  <si>
    <t>{Expend}: {Gain 1 gold} &lt;i&gt;or&lt;/i&gt; {Gain 2 combat}</t>
  </si>
  <si>
    <t>Man-at-Arms</t>
  </si>
  <si>
    <t>{Expend}: {Gain 2 combat} +{1 combat} for each other guard you have in play.</t>
  </si>
  <si>
    <t>Champion ◆ Human Warrior</t>
  </si>
  <si>
    <t>Cron, the Berserker</t>
  </si>
  <si>
    <t>Borg, Ogre Mercenary</t>
  </si>
  <si>
    <t>{Expend}: {Gain 4 combat}</t>
  </si>
  <si>
    <t>Champion ◆ Ogre Warrior</t>
  </si>
  <si>
    <t>Orc Grunt</t>
  </si>
  <si>
    <t>Champion ◆ Orc</t>
  </si>
  <si>
    <t>Torgen Rocksplitter</t>
  </si>
  <si>
    <t>{Expend}: {Gain 4 combat}
Target opponent discards a card.</t>
  </si>
  <si>
    <t>Champion ◆ Troll Warrior</t>
  </si>
  <si>
    <t>Krythos, Master Vampire</t>
  </si>
  <si>
    <t>{Expend}: {Gain 3 combat}
You may sacrifice a card in your hand or discard pile.
If you do, gain an additional {3 combat}.</t>
  </si>
  <si>
    <t>Champion ◆ Vampire</t>
  </si>
  <si>
    <t>Lys, the Unseen</t>
  </si>
  <si>
    <t>{Expend}: {Gain 2 combat}
You may sacrifice a card in your hand or discard pile.
If you do, gain an additional {2 combat}.</t>
  </si>
  <si>
    <t>Gold</t>
  </si>
  <si>
    <t>{Gain 1 gold}</t>
  </si>
  <si>
    <t>Item ◆ Currency ◆ Coin</t>
  </si>
  <si>
    <t>Personal Deck</t>
  </si>
  <si>
    <t>Fire Gem</t>
  </si>
  <si>
    <t>{Gain 2 gold}
&lt;hr&gt;
{Sacrifice}: {Gain 3 combat}</t>
  </si>
  <si>
    <t>Item ◆ Currency ◆ Gem</t>
  </si>
  <si>
    <t>Fire Gems</t>
  </si>
  <si>
    <t>Ruby</t>
  </si>
  <si>
    <t>{Gain 2 gold}</t>
  </si>
  <si>
    <t>Dagger</t>
  </si>
  <si>
    <t>{Gain 1 combat}</t>
  </si>
  <si>
    <t>Item ◆ Melee Weapon ◆ Dagger</t>
  </si>
  <si>
    <t>Shortsword</t>
  </si>
  <si>
    <t>{Gain 2 combat}</t>
  </si>
  <si>
    <t>Item ◆ Melee Weapon ◆ Sword</t>
  </si>
  <si>
    <t>PV</t>
  </si>
  <si>
    <t>Rouge</t>
  </si>
  <si>
    <t>{Gain 3 gold}
You may sacrifice a card in your hand or discard pile.
&lt;hr&gt;
{Rouge Ally}: {Gain 6 combat}</t>
  </si>
  <si>
    <t>{Gain 2 combat}
You may sacrifice a card in your hand or discard pile.
&lt;hr&gt;
{Rouge Ally}: {Gain 2 combat}</t>
  </si>
  <si>
    <t>{Gain 8 combat}
You may sacrifice a card in your hand or discard pile.
&lt;hr&gt;
{Rouge Ally}: Draw a card.</t>
  </si>
  <si>
    <t>{Gain 4 combat}
You may sacrifice a card in your hand or discard pile.
&lt;hr&gt;
{Rouge Ally}: {Gain 3 combat}</t>
  </si>
  <si>
    <t>{Gain 7 combat}
&lt;hr&gt;
{Rouge Ally}: Draw a card.</t>
  </si>
  <si>
    <t>{Expend}: {Gain 4 combat}
You may sacrifice up to two cards in your hand and/or discard pile.
&lt;hr&gt;
{Rouge Ally}: Draw a card.</t>
  </si>
  <si>
    <t>{Expend}: {Gain 1 gold} &lt;i&gt;or&lt;/i&gt; {Gain 1 combat}
&lt;hr&gt;
{Rouge Ally}: {Gain 4 combat}</t>
  </si>
  <si>
    <t>{Expend}: {Gain 3 combat}
&lt;hr&gt;
{Rouge Ally}: Draw a card.</t>
  </si>
  <si>
    <t>{Expend}: Take a champion from your discard pile and put it on top of your deck.
&lt;hr&gt;
{Rouge Ally}: Draw a card.</t>
  </si>
  <si>
    <t>{Gain 4 gold}
&lt;hr&gt;
{Vert Ally}: Target opponent discards a card.
&lt;hr&gt;
{Sacrifice}: {Gain 4 combat}</t>
  </si>
  <si>
    <t>Vert</t>
  </si>
  <si>
    <t>{Gain 2 gold}
You may draw a card. If you do, discard a card.
&lt;hr&gt;
{Vert Ally}: {Gain 4 combat}</t>
  </si>
  <si>
    <t>{Gain 6 combat}
Target opponent discards a card.
&lt;hr&gt;
{Vert Ally}: {Gain 3 combat}</t>
  </si>
  <si>
    <t>{Gain 3 combat}
Target opponent discards a card.
&lt;hr&gt;
{Vert Ally}: {Gain 2 combat}</t>
  </si>
  <si>
    <t>{Expend}: {Gain 2 gold}
&lt;hr&gt;
{Vert Ally}: Target opponent discards a card.</t>
  </si>
  <si>
    <t>{Expend}: {Gain 6 combat}
You may draw a card. If you do, discard a card.
&lt;hr&gt;
{Vert Ally}: Draw a card, then discard a card.</t>
  </si>
  <si>
    <t>{Expend}: {Gain 3 combat}
&lt;hr&gt;
{Vert Ally}: {Gain 4 combat}</t>
  </si>
  <si>
    <t>{Expend}: {Gain 2 combat}
+{1 combat} for each other {Vert} card you have in play.</t>
  </si>
  <si>
    <t>{Expend}: {Gain 5 combat}
&lt;hr&gt;
{Vert Ally}: Draw a card.</t>
  </si>
  <si>
    <t>{Expend}: {Gain 2 combat}
&lt;hr&gt;
{Vert Ally}: Draw a card.</t>
  </si>
  <si>
    <t>{Gain 3 gold}
&lt;hr&gt;
{Bleu Ally}: Put the next action you acquire this turn on top of your deck.</t>
  </si>
  <si>
    <t>Bleu</t>
  </si>
  <si>
    <t>{Gain 2 gold}
Draw a card.
&lt;hr&gt;
{Bleu Ally}: Put the next card you acquire this turn into your hand.</t>
  </si>
  <si>
    <t>{Gain 2 gold}
&lt;hr&gt;
{Bleu Ally}: {Gain 4 combat}</t>
  </si>
  <si>
    <t>{Gain 1 combat}
Draw a card.
&lt;hr&gt;
{Bleu Ally}: Stun target champion.</t>
  </si>
  <si>
    <t>{Gain 7 combat}
&lt;hr&gt;
{Bleu Ally}: Stun target champion.</t>
  </si>
  <si>
    <t>{Gain 5 combat}
&lt;hr&gt;
{Bleu Ally}: {Gain 2 gold}</t>
  </si>
  <si>
    <t>Myros, Bleu Mage</t>
  </si>
  <si>
    <t>{Expend}: {Gain 3 gold}
&lt;hr&gt;
{Bleu Ally}: {Gain 4 combat}</t>
  </si>
  <si>
    <t>{Expend}: {Gain 3 combat}
&lt;hr&gt;
{Bleu Ally}: Draw a card.</t>
  </si>
  <si>
    <t>{Expend}: {Gain 2 gold}
&lt;hr&gt;
{Bleu Ally}: Put the next card you acquire this turn on top of your deck.</t>
  </si>
  <si>
    <t>{Gain 5 combat}
+{2 combat} for each champion you have in play.
&lt;hr&gt;
{Jaune Ally}: {Gain 6 health}</t>
  </si>
  <si>
    <t>Jaune</t>
  </si>
  <si>
    <t>{Gain 6 combat} {Gain 6 health}
Draw a card.
&lt;hr&gt;
{Jaune Ally}: Prepare a champion.</t>
  </si>
  <si>
    <t>{Gain 5 combat} {Gain 5 health}
&lt;hr&gt;
{Jaune Ally}: Prepare a champion.</t>
  </si>
  <si>
    <t>{Gain 2 gold} {Gain 3 health}
+{1 health} for each champion you have in play.
&lt;hr&gt;
{Jaune Ally}: {Gain 1 gold}</t>
  </si>
  <si>
    <t>{Gain 2 gold}
&lt;hr&gt;
{Jaune Ally}: {Gain 6 health}</t>
  </si>
  <si>
    <t>Draw two cards.
&lt;hr&gt;
{Jaune Ally}: {Gain 5 health}
&lt;hr&gt;
{Sacrifice}: {Gain 5 combat}</t>
  </si>
  <si>
    <t>Arkus, Jaune Dragon</t>
  </si>
  <si>
    <t>{Expend}: {Gain 5 combat} Draw a card.
&lt;hr&gt;
{Jaune Ally}: {Gain 6 health}</t>
  </si>
  <si>
    <t>{Expend}: {Gain 2 combat} {Gain 3 health}
&lt;hr&gt;
{Jaune Ally}: Draw a card.</t>
  </si>
  <si>
    <t>{Expend}: {Gain 2 health}
Draw a card.
&lt;hr&gt;
{Jaune Ally}: Gain {2 health} for each champion you have in 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</si>
</sst>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right" vertical="top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right" vertical="top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67"/>
  <sheetViews>
    <sheetView tabSelected="1" zoomScaleNormal="100" workbookViewId="0">
      <selection activeCell="C30" sqref="C30"/>
    </sheetView>
  </sheetViews>
  <sheetFormatPr baseColWidth="10" defaultColWidth="12.6640625" defaultRowHeight="15.75" customHeight="1" x14ac:dyDescent="0.25"/>
  <cols>
    <col min="3" max="3" width="29.21875" customWidth="1"/>
    <col min="4" max="4" width="61.44140625" customWidth="1"/>
    <col min="5" max="5" width="29.44140625" customWidth="1"/>
  </cols>
  <sheetData>
    <row r="2" spans="1:12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124</v>
      </c>
      <c r="I2" s="1"/>
      <c r="J2" s="1" t="s">
        <v>6</v>
      </c>
      <c r="K2" s="1"/>
      <c r="L2" s="1"/>
    </row>
    <row r="3" spans="1:12" x14ac:dyDescent="0.25">
      <c r="A3" s="2"/>
      <c r="B3" s="3">
        <v>3</v>
      </c>
      <c r="C3" s="2" t="s">
        <v>15</v>
      </c>
      <c r="D3" s="4" t="s">
        <v>146</v>
      </c>
      <c r="E3" s="4" t="s">
        <v>8</v>
      </c>
      <c r="F3" s="2" t="s">
        <v>147</v>
      </c>
      <c r="G3" s="3">
        <v>3</v>
      </c>
      <c r="H3" s="2"/>
      <c r="I3" s="2"/>
      <c r="J3" s="2"/>
      <c r="K3" s="2"/>
      <c r="L3" s="2"/>
    </row>
    <row r="4" spans="1:12" x14ac:dyDescent="0.25">
      <c r="A4" s="2"/>
      <c r="B4" s="3">
        <v>1</v>
      </c>
      <c r="C4" s="2" t="s">
        <v>16</v>
      </c>
      <c r="D4" s="4" t="s">
        <v>148</v>
      </c>
      <c r="E4" s="4" t="s">
        <v>8</v>
      </c>
      <c r="F4" s="2" t="s">
        <v>147</v>
      </c>
      <c r="G4" s="3">
        <v>5</v>
      </c>
      <c r="H4" s="2"/>
      <c r="I4" s="2"/>
      <c r="J4" s="2"/>
      <c r="K4" s="2"/>
      <c r="L4" s="2"/>
    </row>
    <row r="5" spans="1:12" x14ac:dyDescent="0.25">
      <c r="A5" s="2"/>
      <c r="B5" s="3">
        <v>1</v>
      </c>
      <c r="C5" s="2" t="s">
        <v>17</v>
      </c>
      <c r="D5" s="2" t="s">
        <v>18</v>
      </c>
      <c r="E5" s="4" t="s">
        <v>8</v>
      </c>
      <c r="F5" s="2" t="s">
        <v>147</v>
      </c>
      <c r="G5" s="3">
        <v>8</v>
      </c>
      <c r="H5" s="2"/>
      <c r="I5" s="2"/>
      <c r="J5" s="2"/>
      <c r="K5" s="2"/>
      <c r="L5" s="2"/>
    </row>
    <row r="6" spans="1:12" x14ac:dyDescent="0.25">
      <c r="A6" s="2"/>
      <c r="B6" s="3">
        <v>3</v>
      </c>
      <c r="C6" s="2" t="s">
        <v>19</v>
      </c>
      <c r="D6" s="4" t="s">
        <v>149</v>
      </c>
      <c r="E6" s="4" t="s">
        <v>8</v>
      </c>
      <c r="F6" s="2" t="s">
        <v>147</v>
      </c>
      <c r="G6" s="3">
        <v>1</v>
      </c>
      <c r="H6" s="2"/>
      <c r="I6" s="2"/>
      <c r="J6" s="2"/>
      <c r="K6" s="2"/>
      <c r="L6" s="2"/>
    </row>
    <row r="7" spans="1:12" x14ac:dyDescent="0.25">
      <c r="A7" s="2"/>
      <c r="B7" s="3">
        <v>1</v>
      </c>
      <c r="C7" s="2" t="s">
        <v>24</v>
      </c>
      <c r="D7" s="4" t="s">
        <v>150</v>
      </c>
      <c r="E7" s="4" t="s">
        <v>25</v>
      </c>
      <c r="F7" s="2" t="s">
        <v>147</v>
      </c>
      <c r="G7" s="3">
        <v>3</v>
      </c>
      <c r="H7" s="2"/>
      <c r="I7" s="2"/>
      <c r="J7" s="2"/>
      <c r="K7" s="2"/>
      <c r="L7" s="4"/>
    </row>
    <row r="8" spans="1:12" x14ac:dyDescent="0.25">
      <c r="A8" s="2"/>
      <c r="B8" s="3">
        <v>1</v>
      </c>
      <c r="C8" s="2" t="s">
        <v>26</v>
      </c>
      <c r="D8" s="4" t="s">
        <v>151</v>
      </c>
      <c r="E8" s="4" t="s">
        <v>25</v>
      </c>
      <c r="F8" s="2" t="s">
        <v>147</v>
      </c>
      <c r="G8" s="3">
        <v>4</v>
      </c>
      <c r="H8" s="2"/>
      <c r="I8" s="2"/>
      <c r="J8" s="2"/>
      <c r="K8" s="2"/>
      <c r="L8" s="4"/>
    </row>
    <row r="9" spans="1:12" x14ac:dyDescent="0.25">
      <c r="A9" s="2"/>
      <c r="B9" s="3">
        <v>2</v>
      </c>
      <c r="C9" s="2" t="s">
        <v>38</v>
      </c>
      <c r="D9" s="4" t="s">
        <v>152</v>
      </c>
      <c r="E9" s="4" t="s">
        <v>39</v>
      </c>
      <c r="F9" s="2" t="s">
        <v>147</v>
      </c>
      <c r="G9" s="3">
        <v>2</v>
      </c>
      <c r="H9" s="2"/>
      <c r="I9" s="2"/>
      <c r="J9" s="2"/>
      <c r="K9" s="2"/>
      <c r="L9" s="2"/>
    </row>
    <row r="10" spans="1:12" x14ac:dyDescent="0.25">
      <c r="A10" s="2"/>
      <c r="B10" s="3">
        <v>1</v>
      </c>
      <c r="C10" s="2" t="s">
        <v>40</v>
      </c>
      <c r="D10" s="2" t="s">
        <v>41</v>
      </c>
      <c r="E10" s="4" t="s">
        <v>39</v>
      </c>
      <c r="F10" s="2" t="s">
        <v>147</v>
      </c>
      <c r="G10" s="3">
        <v>6</v>
      </c>
      <c r="H10" s="2"/>
      <c r="I10" s="2"/>
      <c r="J10" s="2"/>
      <c r="K10" s="2"/>
      <c r="L10" s="2"/>
    </row>
    <row r="11" spans="1:12" x14ac:dyDescent="0.25">
      <c r="A11" s="2"/>
      <c r="B11" s="3">
        <v>1</v>
      </c>
      <c r="C11" s="2" t="s">
        <v>66</v>
      </c>
      <c r="D11" s="2" t="s">
        <v>67</v>
      </c>
      <c r="E11" s="4" t="s">
        <v>68</v>
      </c>
      <c r="F11" s="2" t="s">
        <v>147</v>
      </c>
      <c r="G11" s="3">
        <v>7</v>
      </c>
      <c r="H11" s="3">
        <v>7</v>
      </c>
      <c r="I11" s="2"/>
      <c r="J11" s="2"/>
      <c r="K11" s="2"/>
      <c r="L11" s="2"/>
    </row>
    <row r="12" spans="1:12" x14ac:dyDescent="0.25">
      <c r="A12" s="2"/>
      <c r="B12" s="3">
        <v>1</v>
      </c>
      <c r="C12" s="2" t="s">
        <v>153</v>
      </c>
      <c r="D12" s="4" t="s">
        <v>154</v>
      </c>
      <c r="E12" s="4" t="s">
        <v>71</v>
      </c>
      <c r="F12" s="2" t="s">
        <v>147</v>
      </c>
      <c r="G12" s="3">
        <v>5</v>
      </c>
      <c r="H12" s="2" t="s">
        <v>65</v>
      </c>
      <c r="I12" s="2"/>
      <c r="J12" s="2"/>
      <c r="K12" s="2"/>
      <c r="L12" s="2"/>
    </row>
    <row r="13" spans="1:12" x14ac:dyDescent="0.25">
      <c r="A13" s="2"/>
      <c r="B13" s="3">
        <v>1</v>
      </c>
      <c r="C13" s="2" t="s">
        <v>86</v>
      </c>
      <c r="D13" s="4" t="s">
        <v>155</v>
      </c>
      <c r="E13" s="4" t="s">
        <v>87</v>
      </c>
      <c r="F13" s="2" t="s">
        <v>147</v>
      </c>
      <c r="G13" s="3">
        <v>5</v>
      </c>
      <c r="H13" s="2" t="s">
        <v>60</v>
      </c>
      <c r="I13" s="2"/>
      <c r="J13" s="2"/>
      <c r="K13" s="2"/>
      <c r="L13" s="4"/>
    </row>
    <row r="14" spans="1:12" x14ac:dyDescent="0.25">
      <c r="A14" s="2"/>
      <c r="B14" s="3">
        <v>1</v>
      </c>
      <c r="C14" s="2" t="s">
        <v>88</v>
      </c>
      <c r="D14" s="4" t="s">
        <v>156</v>
      </c>
      <c r="E14" s="4" t="s">
        <v>87</v>
      </c>
      <c r="F14" s="2" t="s">
        <v>147</v>
      </c>
      <c r="G14" s="3">
        <v>4</v>
      </c>
      <c r="H14" s="3">
        <v>5</v>
      </c>
      <c r="I14" s="2"/>
      <c r="J14" s="2"/>
      <c r="K14" s="2"/>
      <c r="L14" s="2"/>
    </row>
    <row r="15" spans="1:12" x14ac:dyDescent="0.25">
      <c r="A15" s="2"/>
      <c r="B15" s="3">
        <v>2</v>
      </c>
      <c r="C15" s="2" t="s">
        <v>89</v>
      </c>
      <c r="D15" s="2" t="s">
        <v>90</v>
      </c>
      <c r="E15" s="4" t="s">
        <v>87</v>
      </c>
      <c r="F15" s="2" t="s">
        <v>147</v>
      </c>
      <c r="G15" s="3">
        <v>3</v>
      </c>
      <c r="H15" s="3">
        <v>4</v>
      </c>
      <c r="I15" s="2"/>
      <c r="J15" s="2"/>
      <c r="K15" s="2"/>
      <c r="L15" s="4"/>
    </row>
    <row r="16" spans="1:12" x14ac:dyDescent="0.25">
      <c r="A16" s="2"/>
      <c r="B16" s="3">
        <v>1</v>
      </c>
      <c r="C16" s="2" t="s">
        <v>95</v>
      </c>
      <c r="D16" s="2" t="s">
        <v>96</v>
      </c>
      <c r="E16" s="4" t="s">
        <v>97</v>
      </c>
      <c r="F16" s="2" t="s">
        <v>147</v>
      </c>
      <c r="G16" s="3">
        <v>6</v>
      </c>
      <c r="H16" s="2" t="s">
        <v>51</v>
      </c>
      <c r="I16" s="2"/>
      <c r="J16" s="2"/>
      <c r="K16" s="2"/>
      <c r="L16" s="4"/>
    </row>
    <row r="17" spans="1:12" x14ac:dyDescent="0.25">
      <c r="A17" s="2"/>
      <c r="B17" s="3">
        <v>1</v>
      </c>
      <c r="C17" s="2" t="s">
        <v>7</v>
      </c>
      <c r="D17" s="7" t="s">
        <v>157</v>
      </c>
      <c r="E17" s="4" t="s">
        <v>8</v>
      </c>
      <c r="F17" s="2" t="s">
        <v>158</v>
      </c>
      <c r="G17" s="3">
        <v>3</v>
      </c>
      <c r="H17" s="2"/>
      <c r="I17" s="2"/>
      <c r="J17" s="2"/>
      <c r="K17" s="2"/>
      <c r="L17" s="4"/>
    </row>
    <row r="18" spans="1:12" x14ac:dyDescent="0.25">
      <c r="A18" s="2"/>
      <c r="B18" s="3">
        <v>1</v>
      </c>
      <c r="C18" s="2" t="s">
        <v>9</v>
      </c>
      <c r="D18" s="2" t="s">
        <v>10</v>
      </c>
      <c r="E18" s="4" t="s">
        <v>8</v>
      </c>
      <c r="F18" s="2" t="s">
        <v>158</v>
      </c>
      <c r="G18" s="3">
        <v>5</v>
      </c>
      <c r="H18" s="2"/>
      <c r="I18" s="2"/>
      <c r="J18" s="2"/>
      <c r="K18" s="2"/>
      <c r="L18" s="4"/>
    </row>
    <row r="19" spans="1:12" x14ac:dyDescent="0.25">
      <c r="A19" s="2"/>
      <c r="B19" s="3">
        <v>1</v>
      </c>
      <c r="C19" s="2" t="s">
        <v>11</v>
      </c>
      <c r="D19" s="4" t="s">
        <v>159</v>
      </c>
      <c r="E19" s="4" t="s">
        <v>8</v>
      </c>
      <c r="F19" s="2" t="s">
        <v>158</v>
      </c>
      <c r="G19" s="3">
        <v>7</v>
      </c>
      <c r="H19" s="2"/>
      <c r="I19" s="2"/>
      <c r="J19" s="2"/>
      <c r="K19" s="2"/>
      <c r="L19" s="4"/>
    </row>
    <row r="20" spans="1:12" x14ac:dyDescent="0.25">
      <c r="A20" s="2"/>
      <c r="B20" s="3">
        <v>1</v>
      </c>
      <c r="C20" s="2" t="s">
        <v>12</v>
      </c>
      <c r="D20" s="4" t="s">
        <v>160</v>
      </c>
      <c r="E20" s="4" t="s">
        <v>8</v>
      </c>
      <c r="F20" s="2" t="s">
        <v>158</v>
      </c>
      <c r="G20" s="3">
        <v>4</v>
      </c>
      <c r="H20" s="2"/>
      <c r="I20" s="2"/>
      <c r="J20" s="2"/>
      <c r="K20" s="2"/>
      <c r="L20" s="4"/>
    </row>
    <row r="21" spans="1:12" x14ac:dyDescent="0.25">
      <c r="A21" s="2"/>
      <c r="B21" s="3">
        <v>3</v>
      </c>
      <c r="C21" s="2" t="s">
        <v>13</v>
      </c>
      <c r="D21" s="4" t="s">
        <v>161</v>
      </c>
      <c r="E21" s="4" t="s">
        <v>8</v>
      </c>
      <c r="F21" s="2" t="s">
        <v>158</v>
      </c>
      <c r="G21" s="3">
        <v>2</v>
      </c>
      <c r="H21" s="2"/>
      <c r="I21" s="2"/>
      <c r="J21" s="2"/>
      <c r="K21" s="2"/>
      <c r="L21" s="4"/>
    </row>
    <row r="22" spans="1:12" x14ac:dyDescent="0.25">
      <c r="A22" s="2"/>
      <c r="B22" s="3">
        <v>3</v>
      </c>
      <c r="C22" s="2" t="s">
        <v>14</v>
      </c>
      <c r="D22" s="4" t="s">
        <v>162</v>
      </c>
      <c r="E22" s="4" t="s">
        <v>8</v>
      </c>
      <c r="F22" s="2" t="s">
        <v>158</v>
      </c>
      <c r="G22" s="3">
        <v>1</v>
      </c>
      <c r="H22" s="2"/>
      <c r="I22" s="2"/>
      <c r="J22" s="2"/>
      <c r="K22" s="2"/>
      <c r="L22" s="4"/>
    </row>
    <row r="23" spans="1:12" x14ac:dyDescent="0.25">
      <c r="A23" s="2"/>
      <c r="B23" s="3">
        <v>1</v>
      </c>
      <c r="C23" s="2" t="s">
        <v>42</v>
      </c>
      <c r="D23" s="4" t="s">
        <v>163</v>
      </c>
      <c r="E23" s="4" t="s">
        <v>43</v>
      </c>
      <c r="F23" s="2" t="s">
        <v>158</v>
      </c>
      <c r="G23" s="3">
        <v>6</v>
      </c>
      <c r="H23" s="2"/>
      <c r="I23" s="2"/>
      <c r="J23" s="2"/>
      <c r="K23" s="2"/>
      <c r="L23" s="2"/>
    </row>
    <row r="24" spans="1:12" x14ac:dyDescent="0.25">
      <c r="A24" s="2"/>
      <c r="B24" s="3">
        <v>1</v>
      </c>
      <c r="C24" s="2" t="s">
        <v>164</v>
      </c>
      <c r="D24" s="4" t="s">
        <v>165</v>
      </c>
      <c r="E24" s="4" t="s">
        <v>52</v>
      </c>
      <c r="F24" s="2" t="s">
        <v>158</v>
      </c>
      <c r="G24" s="3">
        <v>8</v>
      </c>
      <c r="H24" s="2" t="s">
        <v>51</v>
      </c>
      <c r="I24" s="2"/>
      <c r="J24" s="2"/>
      <c r="K24" s="2"/>
      <c r="L24" s="2"/>
    </row>
    <row r="25" spans="1:12" x14ac:dyDescent="0.25">
      <c r="A25" s="2"/>
      <c r="B25" s="3">
        <v>1</v>
      </c>
      <c r="C25" s="2" t="s">
        <v>69</v>
      </c>
      <c r="D25" s="2" t="s">
        <v>70</v>
      </c>
      <c r="E25" s="4" t="s">
        <v>71</v>
      </c>
      <c r="F25" s="2" t="s">
        <v>158</v>
      </c>
      <c r="G25" s="3">
        <v>4</v>
      </c>
      <c r="H25" s="3">
        <v>5</v>
      </c>
      <c r="I25" s="2"/>
      <c r="J25" s="2"/>
      <c r="K25" s="2"/>
      <c r="L25" s="4"/>
    </row>
    <row r="26" spans="1:12" x14ac:dyDescent="0.25">
      <c r="A26" s="2"/>
      <c r="B26" s="3">
        <v>1</v>
      </c>
      <c r="C26" s="2" t="s">
        <v>73</v>
      </c>
      <c r="D26" s="2" t="s">
        <v>74</v>
      </c>
      <c r="E26" s="4" t="s">
        <v>75</v>
      </c>
      <c r="F26" s="2" t="s">
        <v>158</v>
      </c>
      <c r="G26" s="3">
        <v>4</v>
      </c>
      <c r="H26" s="2" t="s">
        <v>76</v>
      </c>
      <c r="I26" s="2"/>
      <c r="J26" s="2"/>
      <c r="K26" s="2"/>
      <c r="L26" s="4"/>
    </row>
    <row r="27" spans="1:12" x14ac:dyDescent="0.25">
      <c r="A27" s="2"/>
      <c r="B27" s="3">
        <v>1</v>
      </c>
      <c r="C27" s="2" t="s">
        <v>79</v>
      </c>
      <c r="D27" s="4" t="s">
        <v>166</v>
      </c>
      <c r="E27" s="4" t="s">
        <v>80</v>
      </c>
      <c r="F27" s="2" t="s">
        <v>158</v>
      </c>
      <c r="G27" s="3">
        <v>5</v>
      </c>
      <c r="H27" s="2" t="s">
        <v>60</v>
      </c>
      <c r="I27" s="2"/>
      <c r="J27" s="2"/>
      <c r="K27" s="2"/>
      <c r="L27" s="4"/>
    </row>
    <row r="28" spans="1:12" x14ac:dyDescent="0.25">
      <c r="A28" s="2"/>
      <c r="B28" s="3">
        <v>1</v>
      </c>
      <c r="C28" s="2" t="s">
        <v>81</v>
      </c>
      <c r="D28" s="4" t="s">
        <v>167</v>
      </c>
      <c r="E28" s="4" t="s">
        <v>82</v>
      </c>
      <c r="F28" s="2" t="s">
        <v>158</v>
      </c>
      <c r="G28" s="3">
        <v>6</v>
      </c>
      <c r="H28" s="3">
        <v>6</v>
      </c>
      <c r="I28" s="2"/>
      <c r="J28" s="2"/>
      <c r="K28" s="2"/>
      <c r="L28" s="4"/>
    </row>
    <row r="29" spans="1:12" x14ac:dyDescent="0.25">
      <c r="A29" s="2"/>
      <c r="B29" s="3">
        <v>2</v>
      </c>
      <c r="C29" s="2" t="s">
        <v>83</v>
      </c>
      <c r="D29" s="2" t="s">
        <v>84</v>
      </c>
      <c r="E29" s="4" t="s">
        <v>82</v>
      </c>
      <c r="F29" s="2" t="s">
        <v>158</v>
      </c>
      <c r="G29" s="3">
        <v>2</v>
      </c>
      <c r="H29" s="3">
        <v>3</v>
      </c>
      <c r="I29" s="2"/>
      <c r="J29" s="2"/>
      <c r="K29" s="2"/>
      <c r="L29" s="2"/>
    </row>
    <row r="30" spans="1:12" x14ac:dyDescent="0.25">
      <c r="A30" s="2"/>
      <c r="B30" s="3">
        <v>2</v>
      </c>
      <c r="C30" s="2" t="s">
        <v>91</v>
      </c>
      <c r="D30" s="2" t="s">
        <v>92</v>
      </c>
      <c r="E30" s="4" t="s">
        <v>93</v>
      </c>
      <c r="F30" s="2" t="s">
        <v>158</v>
      </c>
      <c r="G30" s="3">
        <v>3</v>
      </c>
      <c r="H30" s="2" t="s">
        <v>76</v>
      </c>
      <c r="I30" s="2"/>
      <c r="J30" s="2"/>
      <c r="K30" s="2"/>
      <c r="L30" s="2"/>
    </row>
    <row r="31" spans="1:12" x14ac:dyDescent="0.25">
      <c r="A31" s="2"/>
      <c r="B31" s="3">
        <v>1</v>
      </c>
      <c r="C31" s="2" t="s">
        <v>20</v>
      </c>
      <c r="D31" s="4" t="s">
        <v>126</v>
      </c>
      <c r="E31" s="4" t="s">
        <v>8</v>
      </c>
      <c r="F31" s="2" t="s">
        <v>125</v>
      </c>
      <c r="G31" s="3">
        <v>5</v>
      </c>
      <c r="H31" s="2"/>
      <c r="I31" s="2"/>
      <c r="J31" s="2"/>
      <c r="K31" s="2"/>
      <c r="L31" s="4"/>
    </row>
    <row r="32" spans="1:12" x14ac:dyDescent="0.25">
      <c r="A32" s="2"/>
      <c r="B32" s="3">
        <v>3</v>
      </c>
      <c r="C32" s="2" t="s">
        <v>21</v>
      </c>
      <c r="D32" s="2" t="s">
        <v>22</v>
      </c>
      <c r="E32" s="4" t="s">
        <v>8</v>
      </c>
      <c r="F32" s="2" t="s">
        <v>125</v>
      </c>
      <c r="G32" s="3">
        <v>2</v>
      </c>
      <c r="H32" s="2"/>
      <c r="I32" s="2"/>
      <c r="J32" s="2"/>
      <c r="K32" s="2"/>
      <c r="L32" s="2"/>
    </row>
    <row r="33" spans="1:12" x14ac:dyDescent="0.25">
      <c r="A33" s="2"/>
      <c r="B33" s="3">
        <v>3</v>
      </c>
      <c r="C33" s="2" t="s">
        <v>27</v>
      </c>
      <c r="D33" s="4" t="s">
        <v>127</v>
      </c>
      <c r="E33" s="4" t="s">
        <v>28</v>
      </c>
      <c r="F33" s="2" t="s">
        <v>125</v>
      </c>
      <c r="G33" s="3">
        <v>1</v>
      </c>
      <c r="H33" s="2"/>
      <c r="I33" s="2"/>
      <c r="J33" s="2"/>
      <c r="K33" s="2"/>
      <c r="L33" s="4"/>
    </row>
    <row r="34" spans="1:12" x14ac:dyDescent="0.25">
      <c r="A34" s="2"/>
      <c r="B34" s="3">
        <v>1</v>
      </c>
      <c r="C34" s="2" t="s">
        <v>29</v>
      </c>
      <c r="D34" s="4" t="s">
        <v>128</v>
      </c>
      <c r="E34" s="4" t="s">
        <v>28</v>
      </c>
      <c r="F34" s="2" t="s">
        <v>125</v>
      </c>
      <c r="G34" s="3">
        <v>6</v>
      </c>
      <c r="H34" s="2"/>
      <c r="I34" s="2"/>
      <c r="J34" s="2"/>
      <c r="K34" s="2"/>
      <c r="L34" s="2"/>
    </row>
    <row r="35" spans="1:12" x14ac:dyDescent="0.25">
      <c r="A35" s="2"/>
      <c r="B35" s="3">
        <v>2</v>
      </c>
      <c r="C35" s="2" t="s">
        <v>30</v>
      </c>
      <c r="D35" s="4" t="s">
        <v>129</v>
      </c>
      <c r="E35" s="4" t="s">
        <v>28</v>
      </c>
      <c r="F35" s="2" t="s">
        <v>125</v>
      </c>
      <c r="G35" s="3">
        <v>3</v>
      </c>
      <c r="H35" s="2"/>
      <c r="I35" s="2"/>
      <c r="J35" s="2"/>
      <c r="K35" s="2"/>
      <c r="L35" s="2"/>
    </row>
    <row r="36" spans="1:12" x14ac:dyDescent="0.25">
      <c r="A36" s="2"/>
      <c r="B36" s="3">
        <v>1</v>
      </c>
      <c r="C36" s="2" t="s">
        <v>44</v>
      </c>
      <c r="D36" s="4" t="s">
        <v>130</v>
      </c>
      <c r="E36" s="4" t="s">
        <v>43</v>
      </c>
      <c r="F36" s="2" t="s">
        <v>125</v>
      </c>
      <c r="G36" s="3">
        <v>4</v>
      </c>
      <c r="H36" s="2"/>
      <c r="I36" s="2"/>
      <c r="J36" s="2"/>
      <c r="K36" s="2"/>
      <c r="L36" s="2"/>
    </row>
    <row r="37" spans="1:12" x14ac:dyDescent="0.25">
      <c r="A37" s="2"/>
      <c r="B37" s="3">
        <v>1</v>
      </c>
      <c r="C37" s="2" t="s">
        <v>49</v>
      </c>
      <c r="D37" s="4" t="s">
        <v>131</v>
      </c>
      <c r="E37" s="4" t="s">
        <v>50</v>
      </c>
      <c r="F37" s="2" t="s">
        <v>125</v>
      </c>
      <c r="G37" s="3">
        <v>8</v>
      </c>
      <c r="H37" s="2" t="s">
        <v>51</v>
      </c>
      <c r="I37" s="2"/>
      <c r="J37" s="2"/>
      <c r="K37" s="2"/>
      <c r="L37" s="2"/>
    </row>
    <row r="38" spans="1:12" x14ac:dyDescent="0.25">
      <c r="A38" s="2"/>
      <c r="B38" s="3">
        <v>2</v>
      </c>
      <c r="C38" s="2" t="s">
        <v>61</v>
      </c>
      <c r="D38" s="4" t="s">
        <v>132</v>
      </c>
      <c r="E38" s="4" t="s">
        <v>62</v>
      </c>
      <c r="F38" s="2" t="s">
        <v>125</v>
      </c>
      <c r="G38" s="3">
        <v>3</v>
      </c>
      <c r="H38" s="3">
        <v>4</v>
      </c>
      <c r="I38" s="2"/>
      <c r="J38" s="2"/>
      <c r="K38" s="2"/>
      <c r="L38" s="2"/>
    </row>
    <row r="39" spans="1:12" x14ac:dyDescent="0.25">
      <c r="A39" s="2"/>
      <c r="B39" s="3">
        <v>2</v>
      </c>
      <c r="C39" s="2" t="s">
        <v>63</v>
      </c>
      <c r="D39" s="2" t="s">
        <v>64</v>
      </c>
      <c r="E39" s="4" t="s">
        <v>62</v>
      </c>
      <c r="F39" s="2" t="s">
        <v>125</v>
      </c>
      <c r="G39" s="3">
        <v>2</v>
      </c>
      <c r="H39" s="2" t="s">
        <v>65</v>
      </c>
      <c r="I39" s="2"/>
      <c r="J39" s="2"/>
      <c r="K39" s="2"/>
      <c r="L39" s="2"/>
    </row>
    <row r="40" spans="1:12" x14ac:dyDescent="0.25">
      <c r="A40" s="2"/>
      <c r="B40" s="3">
        <v>1</v>
      </c>
      <c r="C40" s="2" t="s">
        <v>72</v>
      </c>
      <c r="D40" s="4" t="s">
        <v>133</v>
      </c>
      <c r="E40" s="4" t="s">
        <v>71</v>
      </c>
      <c r="F40" s="2" t="s">
        <v>125</v>
      </c>
      <c r="G40" s="3">
        <v>4</v>
      </c>
      <c r="H40" s="3">
        <v>4</v>
      </c>
      <c r="I40" s="2"/>
      <c r="J40" s="2"/>
      <c r="K40" s="2"/>
      <c r="L40" s="4"/>
    </row>
    <row r="41" spans="1:12" x14ac:dyDescent="0.25">
      <c r="A41" s="2"/>
      <c r="B41" s="3">
        <v>1</v>
      </c>
      <c r="C41" s="2" t="s">
        <v>77</v>
      </c>
      <c r="D41" s="4" t="s">
        <v>134</v>
      </c>
      <c r="E41" s="4" t="s">
        <v>78</v>
      </c>
      <c r="F41" s="2" t="s">
        <v>125</v>
      </c>
      <c r="G41" s="3">
        <v>5</v>
      </c>
      <c r="H41" s="3">
        <v>3</v>
      </c>
      <c r="I41" s="2"/>
      <c r="J41" s="2"/>
      <c r="K41" s="2"/>
      <c r="L41" s="4"/>
    </row>
    <row r="42" spans="1:12" x14ac:dyDescent="0.25">
      <c r="A42" s="2"/>
      <c r="B42" s="3">
        <v>1</v>
      </c>
      <c r="C42" s="2" t="s">
        <v>103</v>
      </c>
      <c r="D42" s="2" t="s">
        <v>104</v>
      </c>
      <c r="E42" s="4" t="s">
        <v>105</v>
      </c>
      <c r="F42" s="2" t="s">
        <v>125</v>
      </c>
      <c r="G42" s="3">
        <v>7</v>
      </c>
      <c r="H42" s="3">
        <v>6</v>
      </c>
      <c r="I42" s="2"/>
      <c r="J42" s="2"/>
      <c r="K42" s="2"/>
      <c r="L42" s="4"/>
    </row>
    <row r="43" spans="1:12" x14ac:dyDescent="0.25">
      <c r="A43" s="2"/>
      <c r="B43" s="3">
        <v>1</v>
      </c>
      <c r="C43" s="2" t="s">
        <v>106</v>
      </c>
      <c r="D43" s="2" t="s">
        <v>107</v>
      </c>
      <c r="E43" s="4" t="s">
        <v>105</v>
      </c>
      <c r="F43" s="2" t="s">
        <v>125</v>
      </c>
      <c r="G43" s="3">
        <v>6</v>
      </c>
      <c r="H43" s="2" t="s">
        <v>60</v>
      </c>
      <c r="I43" s="2"/>
      <c r="J43" s="2"/>
      <c r="K43" s="2"/>
      <c r="L43" s="4"/>
    </row>
    <row r="44" spans="1:12" x14ac:dyDescent="0.25">
      <c r="A44" s="2"/>
      <c r="B44" s="3">
        <v>1</v>
      </c>
      <c r="C44" s="2" t="s">
        <v>23</v>
      </c>
      <c r="D44" s="4" t="s">
        <v>135</v>
      </c>
      <c r="E44" s="4" t="s">
        <v>8</v>
      </c>
      <c r="F44" s="2" t="s">
        <v>136</v>
      </c>
      <c r="G44" s="3">
        <v>4</v>
      </c>
      <c r="H44" s="2"/>
      <c r="I44" s="2"/>
      <c r="J44" s="2"/>
      <c r="K44" s="2"/>
      <c r="L44" s="2"/>
    </row>
    <row r="45" spans="1:12" x14ac:dyDescent="0.25">
      <c r="A45" s="2"/>
      <c r="B45" s="3">
        <v>3</v>
      </c>
      <c r="C45" s="2" t="s">
        <v>31</v>
      </c>
      <c r="D45" s="4" t="s">
        <v>137</v>
      </c>
      <c r="E45" s="4" t="s">
        <v>32</v>
      </c>
      <c r="F45" s="2" t="s">
        <v>136</v>
      </c>
      <c r="G45" s="3">
        <v>2</v>
      </c>
      <c r="H45" s="2"/>
      <c r="I45" s="2"/>
      <c r="J45" s="2"/>
      <c r="K45" s="2"/>
      <c r="L45" s="4"/>
    </row>
    <row r="46" spans="1:12" x14ac:dyDescent="0.25">
      <c r="A46" s="2"/>
      <c r="B46" s="3">
        <v>2</v>
      </c>
      <c r="C46" s="2" t="s">
        <v>33</v>
      </c>
      <c r="D46" s="4" t="s">
        <v>138</v>
      </c>
      <c r="E46" s="4" t="s">
        <v>34</v>
      </c>
      <c r="F46" s="2" t="s">
        <v>136</v>
      </c>
      <c r="G46" s="3">
        <v>3</v>
      </c>
      <c r="H46" s="2"/>
      <c r="I46" s="2"/>
      <c r="J46" s="2"/>
      <c r="K46" s="2"/>
      <c r="L46" s="4"/>
    </row>
    <row r="47" spans="1:12" x14ac:dyDescent="0.25">
      <c r="A47" s="2"/>
      <c r="B47" s="3">
        <v>1</v>
      </c>
      <c r="C47" s="2" t="s">
        <v>35</v>
      </c>
      <c r="D47" s="2" t="s">
        <v>36</v>
      </c>
      <c r="E47" s="4" t="s">
        <v>37</v>
      </c>
      <c r="F47" s="2" t="s">
        <v>136</v>
      </c>
      <c r="G47" s="3">
        <v>6</v>
      </c>
      <c r="H47" s="2"/>
      <c r="I47" s="2"/>
      <c r="J47" s="2"/>
      <c r="K47" s="2"/>
      <c r="L47" s="2"/>
    </row>
    <row r="48" spans="1:12" x14ac:dyDescent="0.25">
      <c r="A48" s="2"/>
      <c r="B48" s="3">
        <v>3</v>
      </c>
      <c r="C48" s="2" t="s">
        <v>45</v>
      </c>
      <c r="D48" s="4" t="s">
        <v>139</v>
      </c>
      <c r="E48" s="4" t="s">
        <v>43</v>
      </c>
      <c r="F48" s="2" t="s">
        <v>136</v>
      </c>
      <c r="G48" s="3">
        <v>1</v>
      </c>
      <c r="H48" s="2"/>
      <c r="I48" s="2"/>
      <c r="J48" s="2"/>
      <c r="K48" s="2"/>
      <c r="L48" s="2"/>
    </row>
    <row r="49" spans="1:12" x14ac:dyDescent="0.25">
      <c r="A49" s="2"/>
      <c r="B49" s="3">
        <v>1</v>
      </c>
      <c r="C49" s="2" t="s">
        <v>46</v>
      </c>
      <c r="D49" s="2" t="s">
        <v>47</v>
      </c>
      <c r="E49" s="4" t="s">
        <v>48</v>
      </c>
      <c r="F49" s="2" t="s">
        <v>136</v>
      </c>
      <c r="G49" s="3">
        <v>5</v>
      </c>
      <c r="H49" s="2"/>
      <c r="I49" s="2"/>
      <c r="J49" s="2"/>
      <c r="K49" s="2"/>
      <c r="L49" s="4"/>
    </row>
    <row r="50" spans="1:12" x14ac:dyDescent="0.25">
      <c r="A50" s="2"/>
      <c r="B50" s="3">
        <v>1</v>
      </c>
      <c r="C50" s="2" t="s">
        <v>53</v>
      </c>
      <c r="D50" s="4" t="s">
        <v>140</v>
      </c>
      <c r="E50" s="4" t="s">
        <v>54</v>
      </c>
      <c r="F50" s="2" t="s">
        <v>136</v>
      </c>
      <c r="G50" s="3">
        <v>4</v>
      </c>
      <c r="H50" s="3">
        <v>6</v>
      </c>
      <c r="I50" s="2"/>
      <c r="J50" s="2"/>
      <c r="K50" s="2"/>
      <c r="L50" s="2"/>
    </row>
    <row r="51" spans="1:12" x14ac:dyDescent="0.25">
      <c r="A51" s="2"/>
      <c r="B51" s="3">
        <v>1</v>
      </c>
      <c r="C51" s="2" t="s">
        <v>55</v>
      </c>
      <c r="D51" s="4" t="s">
        <v>141</v>
      </c>
      <c r="E51" s="4" t="s">
        <v>56</v>
      </c>
      <c r="F51" s="2" t="s">
        <v>136</v>
      </c>
      <c r="G51" s="3">
        <v>8</v>
      </c>
      <c r="H51" s="2" t="s">
        <v>57</v>
      </c>
      <c r="I51" s="2"/>
      <c r="J51" s="2"/>
      <c r="K51" s="2"/>
      <c r="L51" s="4"/>
    </row>
    <row r="52" spans="1:12" x14ac:dyDescent="0.25">
      <c r="A52" s="2"/>
      <c r="B52" s="3">
        <v>1</v>
      </c>
      <c r="C52" s="2" t="s">
        <v>58</v>
      </c>
      <c r="D52" s="4" t="s">
        <v>142</v>
      </c>
      <c r="E52" s="4" t="s">
        <v>59</v>
      </c>
      <c r="F52" s="2" t="s">
        <v>136</v>
      </c>
      <c r="G52" s="3">
        <v>5</v>
      </c>
      <c r="H52" s="2" t="s">
        <v>60</v>
      </c>
      <c r="I52" s="2"/>
      <c r="J52" s="2"/>
      <c r="K52" s="2"/>
      <c r="L52" s="2"/>
    </row>
    <row r="53" spans="1:12" x14ac:dyDescent="0.25">
      <c r="A53" s="2"/>
      <c r="B53" s="3">
        <v>2</v>
      </c>
      <c r="C53" s="2" t="s">
        <v>85</v>
      </c>
      <c r="D53" s="4" t="s">
        <v>143</v>
      </c>
      <c r="E53" s="4" t="s">
        <v>82</v>
      </c>
      <c r="F53" s="2" t="s">
        <v>136</v>
      </c>
      <c r="G53" s="3">
        <v>2</v>
      </c>
      <c r="H53" s="3">
        <v>4</v>
      </c>
      <c r="I53" s="2"/>
      <c r="J53" s="2"/>
      <c r="K53" s="2"/>
      <c r="L53" s="4"/>
    </row>
    <row r="54" spans="1:12" x14ac:dyDescent="0.25">
      <c r="A54" s="2"/>
      <c r="B54" s="3">
        <v>1</v>
      </c>
      <c r="C54" s="2" t="s">
        <v>94</v>
      </c>
      <c r="D54" s="4" t="s">
        <v>144</v>
      </c>
      <c r="E54" s="4" t="s">
        <v>93</v>
      </c>
      <c r="F54" s="2" t="s">
        <v>136</v>
      </c>
      <c r="G54" s="3">
        <v>6</v>
      </c>
      <c r="H54" s="3">
        <v>6</v>
      </c>
      <c r="I54" s="2"/>
      <c r="J54" s="2"/>
      <c r="K54" s="2"/>
      <c r="L54" s="2"/>
    </row>
    <row r="55" spans="1:12" x14ac:dyDescent="0.25">
      <c r="A55" s="2"/>
      <c r="B55" s="3">
        <v>2</v>
      </c>
      <c r="C55" s="2" t="s">
        <v>98</v>
      </c>
      <c r="D55" s="4" t="s">
        <v>145</v>
      </c>
      <c r="E55" s="4" t="s">
        <v>99</v>
      </c>
      <c r="F55" s="2" t="s">
        <v>136</v>
      </c>
      <c r="G55" s="3">
        <v>3</v>
      </c>
      <c r="H55" s="2" t="s">
        <v>65</v>
      </c>
      <c r="I55" s="2"/>
      <c r="J55" s="2"/>
      <c r="K55" s="2"/>
      <c r="L55" s="2"/>
    </row>
    <row r="56" spans="1:12" x14ac:dyDescent="0.25">
      <c r="A56" s="2"/>
      <c r="B56" s="3">
        <v>1</v>
      </c>
      <c r="C56" s="2" t="s">
        <v>100</v>
      </c>
      <c r="D56" s="2" t="s">
        <v>101</v>
      </c>
      <c r="E56" s="4" t="s">
        <v>102</v>
      </c>
      <c r="F56" s="2" t="s">
        <v>136</v>
      </c>
      <c r="G56" s="3">
        <v>7</v>
      </c>
      <c r="H56" s="2" t="s">
        <v>57</v>
      </c>
      <c r="I56" s="2"/>
      <c r="J56" s="2"/>
      <c r="K56" s="2"/>
      <c r="L56" s="2"/>
    </row>
    <row r="57" spans="1:12" x14ac:dyDescent="0.25">
      <c r="A57" s="2"/>
      <c r="B57" s="3">
        <f>28/2</f>
        <v>14</v>
      </c>
      <c r="C57" s="2" t="s">
        <v>108</v>
      </c>
      <c r="D57" s="2" t="s">
        <v>109</v>
      </c>
      <c r="E57" s="4" t="s">
        <v>110</v>
      </c>
      <c r="F57" s="2"/>
      <c r="G57" s="2"/>
      <c r="H57" s="2"/>
      <c r="I57" s="2"/>
      <c r="J57" s="2" t="s">
        <v>111</v>
      </c>
      <c r="K57" s="2"/>
      <c r="L57" s="4"/>
    </row>
    <row r="58" spans="1:12" x14ac:dyDescent="0.25">
      <c r="A58" s="2"/>
      <c r="B58" s="3">
        <v>16</v>
      </c>
      <c r="C58" s="2" t="s">
        <v>112</v>
      </c>
      <c r="D58" s="2" t="s">
        <v>113</v>
      </c>
      <c r="E58" s="4" t="s">
        <v>114</v>
      </c>
      <c r="F58" s="2"/>
      <c r="G58" s="3">
        <v>2</v>
      </c>
      <c r="H58" s="2"/>
      <c r="I58" s="2"/>
      <c r="J58" s="2" t="s">
        <v>115</v>
      </c>
      <c r="K58" s="2"/>
      <c r="L58" s="2"/>
    </row>
    <row r="59" spans="1:12" x14ac:dyDescent="0.25">
      <c r="A59" s="2"/>
      <c r="B59" s="3">
        <v>2</v>
      </c>
      <c r="C59" s="2" t="s">
        <v>116</v>
      </c>
      <c r="D59" s="2" t="s">
        <v>117</v>
      </c>
      <c r="E59" s="4" t="s">
        <v>114</v>
      </c>
      <c r="F59" s="2"/>
      <c r="G59" s="2"/>
      <c r="H59" s="2"/>
      <c r="I59" s="2"/>
      <c r="J59" s="2" t="s">
        <v>111</v>
      </c>
      <c r="K59" s="2"/>
      <c r="L59" s="4"/>
    </row>
    <row r="60" spans="1:12" x14ac:dyDescent="0.25">
      <c r="A60" s="2"/>
      <c r="B60" s="3">
        <v>2</v>
      </c>
      <c r="C60" s="2" t="s">
        <v>118</v>
      </c>
      <c r="D60" s="2" t="s">
        <v>119</v>
      </c>
      <c r="E60" s="4" t="s">
        <v>120</v>
      </c>
      <c r="F60" s="2"/>
      <c r="G60" s="2"/>
      <c r="H60" s="2"/>
      <c r="I60" s="2"/>
      <c r="J60" s="2" t="s">
        <v>111</v>
      </c>
      <c r="K60" s="2"/>
      <c r="L60" s="2"/>
    </row>
    <row r="61" spans="1:12" x14ac:dyDescent="0.25">
      <c r="A61" s="2"/>
      <c r="B61" s="3">
        <v>2</v>
      </c>
      <c r="C61" s="2" t="s">
        <v>121</v>
      </c>
      <c r="D61" s="2" t="s">
        <v>122</v>
      </c>
      <c r="E61" s="4" t="s">
        <v>123</v>
      </c>
      <c r="F61" s="2"/>
      <c r="G61" s="2"/>
      <c r="H61" s="2"/>
      <c r="I61" s="2"/>
      <c r="J61" s="2" t="s">
        <v>111</v>
      </c>
      <c r="K61" s="2"/>
      <c r="L61" s="2"/>
    </row>
    <row r="62" spans="1:12" x14ac:dyDescent="0.25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5"/>
      <c r="B63" s="6">
        <f>SUM(B3:B61)</f>
        <v>116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</sheetData>
  <sortState xmlns:xlrd2="http://schemas.microsoft.com/office/spreadsheetml/2017/richdata2" ref="B3:H61">
    <sortCondition ref="F3:F6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FARIN</cp:lastModifiedBy>
  <cp:lastPrinted>2025-10-07T14:44:45Z</cp:lastPrinted>
  <dcterms:modified xsi:type="dcterms:W3CDTF">2025-10-21T10:27:08Z</dcterms:modified>
</cp:coreProperties>
</file>